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Casos de Prueba" sheetId="2" r:id="rId5"/>
    <sheet state="visible" name="Resumen" sheetId="3" r:id="rId6"/>
  </sheets>
  <definedNames>
    <definedName hidden="1" localSheetId="1" name="_xlnm._FilterDatabase">'Casos de Prueba'!$A$1:$L$201</definedName>
  </definedNames>
  <calcPr/>
  <extLst>
    <ext uri="GoogleSheetsCustomDataVersion2">
      <go:sheetsCustomData xmlns:go="http://customooxmlschemas.google.com/" r:id="rId7" roundtripDataChecksum="xKyrtRRT00MjVrqv9+Fyd9ysorZ/NGTKO5wfTwDvBh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======
ID#AAACIXFGarM
Unknown Author    (2026-10-11 00:33:58)
Filas de ejemplo (2 a 4): bórrenlas o reemplácenlas por sus propios casos.</t>
      </text>
    </comment>
  </commentList>
  <extLst>
    <ext uri="GoogleSheetsCustomDataVersion2">
      <go:sheetsCustomData xmlns:go="http://customooxmlschemas.google.com/" r:id="rId1" roundtripDataSignature="AMtx7mgacy70gTyo5A1UqrYr9ZbSZp9v0w=="/>
    </ext>
  </extLst>
</comments>
</file>

<file path=xl/sharedStrings.xml><?xml version="1.0" encoding="utf-8"?>
<sst xmlns="http://schemas.openxmlformats.org/spreadsheetml/2006/main" count="132" uniqueCount="95">
  <si>
    <t>Resumen de Pruebas</t>
  </si>
  <si>
    <t>ID</t>
  </si>
  <si>
    <t>Registro de Pruebas Unitarias</t>
  </si>
  <si>
    <t>Total de casos</t>
  </si>
  <si>
    <t>Módulo / Clase</t>
  </si>
  <si>
    <t>Función / Método</t>
  </si>
  <si>
    <t>Tipo de caso</t>
  </si>
  <si>
    <t>Descripción del caso</t>
  </si>
  <si>
    <t>Datos de entrada</t>
  </si>
  <si>
    <t>Resultado esperado</t>
  </si>
  <si>
    <t>Resultado obtenido</t>
  </si>
  <si>
    <t>Estado</t>
  </si>
  <si>
    <t>Responsable</t>
  </si>
  <si>
    <t>Fecha ejecución</t>
  </si>
  <si>
    <t>Observaciones</t>
  </si>
  <si>
    <t>PU-001</t>
  </si>
  <si>
    <t>Calculadora</t>
  </si>
  <si>
    <t>sumar(a, b)</t>
  </si>
  <si>
    <t>Proyecto:</t>
  </si>
  <si>
    <t>Normal</t>
  </si>
  <si>
    <t>Suma dos enteros positivos</t>
  </si>
  <si>
    <t>a=2, b=3</t>
  </si>
  <si>
    <t>5</t>
  </si>
  <si>
    <t>ROPIARMA</t>
  </si>
  <si>
    <t>Pasó</t>
  </si>
  <si>
    <t>Ana</t>
  </si>
  <si>
    <t>Curso / Asignatura:</t>
  </si>
  <si>
    <t>DSY1104-011D</t>
  </si>
  <si>
    <t>PU-002</t>
  </si>
  <si>
    <t>dividir(a, b)</t>
  </si>
  <si>
    <t>Equipo / Integrantes:</t>
  </si>
  <si>
    <t xml:space="preserve">Valentina Martinoli, Lucas Pizarro, Jose Rojo, Matías Vera </t>
  </si>
  <si>
    <t>Error</t>
  </si>
  <si>
    <t>División por cero lanza excepción</t>
  </si>
  <si>
    <t>a=10, b=0</t>
  </si>
  <si>
    <t>Lenguaje y framework de pruebas:</t>
  </si>
  <si>
    <t>ZeroDivisionError</t>
  </si>
  <si>
    <t>React + JS</t>
  </si>
  <si>
    <t>Benja</t>
  </si>
  <si>
    <t>PU-003</t>
  </si>
  <si>
    <t>Validador</t>
  </si>
  <si>
    <t>es_email_valido(s)</t>
  </si>
  <si>
    <t>Borde</t>
  </si>
  <si>
    <t>Texto vacío no es un email válido</t>
  </si>
  <si>
    <t>s=""</t>
  </si>
  <si>
    <t>Cómo usar esta planilla</t>
  </si>
  <si>
    <t>False</t>
  </si>
  <si>
    <t>True</t>
  </si>
  <si>
    <t>Falló</t>
  </si>
  <si>
    <t>No se valida cadena vacía; corregir y volver a ejecutar</t>
  </si>
  <si>
    <t>1. Completen los datos del proyecto arriba (celdas amarillas).</t>
  </si>
  <si>
    <t>2. En la hoja 'Casos de Prueba', agreguen una fila por cada caso de prueba (un test = una fila).</t>
  </si>
  <si>
    <t>3. Las celdas amarillas son para completar; las filas 1–3 de ejemplo se pueden borrar o reemplazar.</t>
  </si>
  <si>
    <t>4. Usen IDs correlativos: PU-001, PU-002, ... para poder referenciarlos en el informe.</t>
  </si>
  <si>
    <t>5. 'Resultado esperado' se escribe ANTES de ejecutar; 'Resultado obtenido' DESPUÉS.</t>
  </si>
  <si>
    <t>6. Elijan el Estado desde la lista: Pasó, Falló, Pendiente u Omitido.</t>
  </si>
  <si>
    <t>7. Si un test falla, describan el error en 'Observaciones' y, al corregirlo, actualicen el estado.</t>
  </si>
  <si>
    <t>8. La hoja 'Resumen' se calcula sola: no hay que escribir nada ahí.</t>
  </si>
  <si>
    <t>Tipos de caso sugeridos:</t>
  </si>
  <si>
    <t>• Caso normal: entrada válida típica.</t>
  </si>
  <si>
    <t>• Caso borde: límites (0, vacío, máximo, mínimo, un solo elemento).</t>
  </si>
  <si>
    <t>• Caso de error: entrada inválida que debería lanzar excepción o devolver error.</t>
  </si>
  <si>
    <t>Pendiente</t>
  </si>
  <si>
    <t>MÓDULO / CLASE</t>
  </si>
  <si>
    <t>Omitido</t>
  </si>
  <si>
    <t>tituloIngresar()</t>
  </si>
  <si>
    <t>botonCasita()</t>
  </si>
  <si>
    <t>enlaceCategoría()</t>
  </si>
  <si>
    <t>PU-004</t>
  </si>
  <si>
    <t>Sin estado</t>
  </si>
  <si>
    <t>PU-005</t>
  </si>
  <si>
    <t>PU-006</t>
  </si>
  <si>
    <t>PU-007</t>
  </si>
  <si>
    <t>% de éxito (Pasó / ejecutados)</t>
  </si>
  <si>
    <t>PU-008</t>
  </si>
  <si>
    <t>PU-009</t>
  </si>
  <si>
    <t>PU-010</t>
  </si>
  <si>
    <t xml:space="preserve">Descripción del caso </t>
  </si>
  <si>
    <t xml:space="preserve">Datos de Entrada </t>
  </si>
  <si>
    <t>Validar que en el apartado de ingresar
aparezca el titulo 'Ingresar'</t>
  </si>
  <si>
    <t>vista = &lt;UsuarioIngresar/&gt;</t>
  </si>
  <si>
    <t>h1 = "Ingresar"</t>
  </si>
  <si>
    <t>% de avance (ejecutados / total)</t>
  </si>
  <si>
    <t>Validar que el logo de la casita en las
vistas apunte a la vista de inicio '/'</t>
  </si>
  <si>
    <t>Enlace = &lt;Link to="/"/&gt;</t>
  </si>
  <si>
    <t>href = "/"</t>
  </si>
  <si>
    <t>Validar que el botón de categorías ver
producto apunte al enlace correcto</t>
  </si>
  <si>
    <t>enlace = &lt;Link to="categorias"/&gt;</t>
  </si>
  <si>
    <t>href = "/categorias"</t>
  </si>
  <si>
    <t>Por tipo de caso</t>
  </si>
  <si>
    <t>Tipo</t>
  </si>
  <si>
    <t>Total</t>
  </si>
  <si>
    <t xml:space="preserve">Fecha de ejecución </t>
  </si>
  <si>
    <t>Jose</t>
  </si>
  <si>
    <t>Esta hoja se calcula automáticamente desde 'Casos de Prueba'.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</si>
</sst>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0.0%"/>
    <numFmt numFmtId="166" formatCode="d/m/yyyy"/>
  </numFmts>
  <fonts count="10">
    <font>
      <sz val="11.0"/>
      <color theme="1"/>
      <name val="Calibri"/>
      <scheme val="minor"/>
    </font>
    <font>
      <b/>
      <sz val="16.0"/>
      <color rgb="FF1F4E78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color rgb="FF1F1F1F"/>
      <name val="Arial"/>
    </font>
    <font>
      <i/>
      <sz val="11.0"/>
      <color rgb="FF808080"/>
      <name val="Arial"/>
    </font>
    <font>
      <b/>
      <sz val="12.0"/>
      <color rgb="FF1F4E78"/>
      <name val="Arial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9E5"/>
        <bgColor rgb="FFFFF9E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3" fontId="4" numFmtId="0" xfId="0" applyAlignment="1" applyBorder="1" applyFill="1" applyFont="1">
      <alignment shrinkToFit="0" vertical="top" wrapText="1"/>
    </xf>
    <xf borderId="0" fillId="0" fontId="3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readingOrder="0" shrinkToFit="0" vertical="bottom" wrapText="0"/>
    </xf>
    <xf borderId="1" fillId="3" fontId="4" numFmtId="164" xfId="0" applyAlignment="1" applyBorder="1" applyFill="1" applyFont="1" applyNumberFormat="1">
      <alignment shrinkToFit="0" vertical="top" wrapText="1"/>
    </xf>
    <xf borderId="0" fillId="3" fontId="6" numFmtId="0" xfId="0" applyAlignment="1" applyFill="1" applyFont="1">
      <alignment readingOrder="0"/>
    </xf>
    <xf borderId="1" fillId="0" fontId="4" numFmtId="0" xfId="0" applyAlignment="1" applyBorder="1" applyFont="1">
      <alignment horizontal="center" shrinkToFit="0" vertical="bottom" wrapText="0"/>
    </xf>
    <xf borderId="1" fillId="3" fontId="7" numFmtId="0" xfId="0" applyAlignment="1" applyBorder="1" applyFill="1" applyFont="1">
      <alignment readingOrder="0" shrinkToFit="0" vertical="bottom" wrapText="0"/>
    </xf>
    <xf borderId="1" fillId="4" fontId="3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5" fontId="3" numFmtId="0" xfId="0" applyAlignment="1" applyBorder="1" applyFill="1" applyFont="1">
      <alignment shrinkToFit="0" vertical="bottom" wrapText="0"/>
    </xf>
    <xf borderId="1" fillId="6" fontId="3" numFmtId="0" xfId="0" applyAlignment="1" applyBorder="1" applyFill="1" applyFont="1">
      <alignment shrinkToFit="0" vertical="bottom" wrapText="0"/>
    </xf>
    <xf borderId="2" fillId="7" fontId="9" numFmtId="0" xfId="0" applyAlignment="1" applyBorder="1" applyFill="1" applyFont="1">
      <alignment horizontal="center" readingOrder="0"/>
    </xf>
    <xf borderId="2" fillId="3" fontId="9" numFmtId="0" xfId="0" applyAlignment="1" applyBorder="1" applyFill="1" applyFont="1">
      <alignment readingOrder="0"/>
    </xf>
    <xf borderId="1" fillId="8" fontId="3" numFmtId="0" xfId="0" applyAlignment="1" applyBorder="1" applyFill="1" applyFont="1">
      <alignment shrinkToFit="0" vertical="bottom" wrapText="0"/>
    </xf>
    <xf borderId="2" fillId="3" fontId="9" numFmtId="0" xfId="0" applyBorder="1" applyFill="1" applyFont="1"/>
    <xf borderId="2" fillId="7" fontId="9" numFmtId="0" xfId="0" applyAlignment="1" applyBorder="1" applyFill="1" applyFont="1">
      <alignment readingOrder="0"/>
    </xf>
    <xf borderId="1" fillId="0" fontId="4" numFmtId="165" xfId="0" applyAlignment="1" applyBorder="1" applyFont="1" applyNumberFormat="1">
      <alignment horizontal="center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9" fontId="9" numFmtId="0" xfId="0" applyAlignment="1" applyBorder="1" applyFill="1" applyFont="1">
      <alignment readingOrder="0"/>
    </xf>
    <xf borderId="1" fillId="0" fontId="4" numFmtId="0" xfId="0" applyAlignment="1" applyBorder="1" applyFont="1">
      <alignment shrinkToFit="0" vertical="bottom" wrapText="0"/>
    </xf>
    <xf borderId="2" fillId="3" fontId="9" numFmtId="166" xfId="0" applyAlignment="1" applyBorder="1" applyFill="1" applyFont="1" applyNumberFormat="1">
      <alignment horizontal="left" readingOrder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>
        <b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name val="Arial"/>
      </font>
      <fill>
        <patternFill patternType="solid">
          <fgColor rgb="FFD9D9D9"/>
          <bgColor rgb="FFD9D9D9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9.71"/>
    <col customWidth="1" min="3" max="3" width="18.29"/>
    <col customWidth="1" min="4" max="4" width="18.0"/>
    <col customWidth="1" min="5" max="26" width="8.71"/>
  </cols>
  <sheetData>
    <row r="1">
      <c r="A1" s="1" t="s">
        <v>2</v>
      </c>
    </row>
    <row r="3">
      <c r="A3" s="5" t="s">
        <v>18</v>
      </c>
      <c r="B3" s="6" t="s">
        <v>23</v>
      </c>
    </row>
    <row r="4">
      <c r="A4" s="5" t="s">
        <v>26</v>
      </c>
      <c r="B4" s="8" t="s">
        <v>27</v>
      </c>
    </row>
    <row r="5">
      <c r="A5" s="5" t="s">
        <v>30</v>
      </c>
      <c r="B5" s="6" t="s">
        <v>31</v>
      </c>
    </row>
    <row r="6">
      <c r="A6" s="5" t="s">
        <v>35</v>
      </c>
      <c r="B6" s="10" t="s">
        <v>37</v>
      </c>
    </row>
    <row r="8">
      <c r="A8" s="12" t="s">
        <v>45</v>
      </c>
    </row>
    <row r="9">
      <c r="A9" s="13" t="s">
        <v>50</v>
      </c>
    </row>
    <row r="10">
      <c r="A10" s="13" t="s">
        <v>51</v>
      </c>
    </row>
    <row r="11">
      <c r="A11" s="13" t="s">
        <v>52</v>
      </c>
    </row>
    <row r="12">
      <c r="A12" s="13" t="s">
        <v>53</v>
      </c>
    </row>
    <row r="13">
      <c r="A13" s="13" t="s">
        <v>54</v>
      </c>
    </row>
    <row r="14">
      <c r="A14" s="13" t="s">
        <v>55</v>
      </c>
    </row>
    <row r="15">
      <c r="A15" s="13" t="s">
        <v>56</v>
      </c>
    </row>
    <row r="16">
      <c r="A16" s="13" t="s">
        <v>57</v>
      </c>
    </row>
    <row r="17">
      <c r="A17" s="13"/>
    </row>
    <row r="18">
      <c r="A18" s="5" t="s">
        <v>58</v>
      </c>
    </row>
    <row r="19">
      <c r="A19" s="13" t="s">
        <v>59</v>
      </c>
    </row>
    <row r="20">
      <c r="A20" s="13" t="s">
        <v>60</v>
      </c>
    </row>
    <row r="21" ht="15.75" customHeight="1">
      <c r="A21" s="13" t="s">
        <v>61</v>
      </c>
    </row>
    <row r="22" ht="15.75" customHeight="1"/>
    <row r="23" ht="15.75" customHeight="1"/>
    <row r="24" ht="15.75" customHeight="1">
      <c r="A24" s="16" t="s">
        <v>1</v>
      </c>
      <c r="B24" s="16" t="s">
        <v>63</v>
      </c>
      <c r="C24" s="16" t="s">
        <v>5</v>
      </c>
      <c r="D24" s="16" t="s">
        <v>6</v>
      </c>
    </row>
    <row r="25" ht="15.75" customHeight="1">
      <c r="A25" s="17" t="s">
        <v>15</v>
      </c>
      <c r="B25" s="17" t="s">
        <v>40</v>
      </c>
      <c r="C25" s="17" t="s">
        <v>65</v>
      </c>
      <c r="D25" s="17" t="s">
        <v>19</v>
      </c>
    </row>
    <row r="26" ht="15.75" customHeight="1">
      <c r="A26" s="17" t="s">
        <v>28</v>
      </c>
      <c r="B26" s="17" t="s">
        <v>40</v>
      </c>
      <c r="C26" s="17" t="s">
        <v>66</v>
      </c>
      <c r="D26" s="17" t="s">
        <v>19</v>
      </c>
    </row>
    <row r="27" ht="15.75" customHeight="1">
      <c r="A27" s="17" t="s">
        <v>39</v>
      </c>
      <c r="B27" s="17" t="s">
        <v>40</v>
      </c>
      <c r="C27" s="17" t="s">
        <v>67</v>
      </c>
      <c r="D27" s="17" t="s">
        <v>19</v>
      </c>
    </row>
    <row r="28" ht="15.75" customHeight="1">
      <c r="A28" s="17" t="s">
        <v>68</v>
      </c>
      <c r="B28" s="19"/>
      <c r="C28" s="19"/>
      <c r="D28" s="19"/>
    </row>
    <row r="29" ht="15.75" customHeight="1">
      <c r="A29" s="17" t="s">
        <v>70</v>
      </c>
      <c r="B29" s="19"/>
      <c r="C29" s="19"/>
      <c r="D29" s="19"/>
    </row>
    <row r="30" ht="15.75" customHeight="1">
      <c r="A30" s="17" t="s">
        <v>71</v>
      </c>
      <c r="B30" s="19"/>
      <c r="C30" s="19"/>
      <c r="D30" s="19"/>
    </row>
    <row r="31" ht="15.75" customHeight="1">
      <c r="A31" s="17" t="s">
        <v>72</v>
      </c>
      <c r="B31" s="19"/>
      <c r="C31" s="19"/>
      <c r="D31" s="19"/>
    </row>
    <row r="32" ht="15.75" customHeight="1">
      <c r="A32" s="17" t="s">
        <v>74</v>
      </c>
      <c r="B32" s="19"/>
      <c r="C32" s="19"/>
      <c r="D32" s="19"/>
    </row>
    <row r="33" ht="15.75" customHeight="1">
      <c r="A33" s="17" t="s">
        <v>75</v>
      </c>
      <c r="B33" s="19"/>
      <c r="C33" s="19"/>
      <c r="D33" s="19"/>
    </row>
    <row r="34" ht="15.75" customHeight="1">
      <c r="A34" s="17" t="s">
        <v>76</v>
      </c>
      <c r="B34" s="19"/>
      <c r="C34" s="19"/>
      <c r="D34" s="19"/>
    </row>
    <row r="35" ht="15.75" customHeight="1"/>
    <row r="36" ht="15.75" customHeight="1">
      <c r="A36" s="20" t="s">
        <v>77</v>
      </c>
      <c r="B36" s="20" t="s">
        <v>78</v>
      </c>
      <c r="C36" s="20" t="s">
        <v>9</v>
      </c>
    </row>
    <row r="37" ht="15.75" customHeight="1">
      <c r="A37" s="17" t="s">
        <v>79</v>
      </c>
      <c r="B37" s="17" t="s">
        <v>80</v>
      </c>
      <c r="C37" s="17" t="s">
        <v>81</v>
      </c>
    </row>
    <row r="38" ht="15.75" customHeight="1">
      <c r="A38" s="17" t="s">
        <v>83</v>
      </c>
      <c r="B38" s="17" t="s">
        <v>84</v>
      </c>
      <c r="C38" s="17" t="s">
        <v>85</v>
      </c>
    </row>
    <row r="39" ht="15.75" customHeight="1">
      <c r="A39" s="17" t="s">
        <v>86</v>
      </c>
      <c r="B39" s="17" t="s">
        <v>87</v>
      </c>
      <c r="C39" s="17" t="s">
        <v>88</v>
      </c>
    </row>
    <row r="40" ht="15.75" customHeight="1">
      <c r="A40" s="19"/>
      <c r="B40" s="19"/>
      <c r="C40" s="19"/>
    </row>
    <row r="41" ht="15.75" customHeight="1">
      <c r="A41" s="19"/>
      <c r="B41" s="19"/>
      <c r="C41" s="19"/>
    </row>
    <row r="42" ht="15.75" customHeight="1">
      <c r="A42" s="19"/>
      <c r="B42" s="19"/>
      <c r="C42" s="19"/>
    </row>
    <row r="43" ht="15.75" customHeight="1">
      <c r="A43" s="19"/>
      <c r="B43" s="19"/>
      <c r="C43" s="19"/>
    </row>
    <row r="44" ht="15.75" customHeight="1">
      <c r="A44" s="19"/>
      <c r="B44" s="19"/>
      <c r="C44" s="19"/>
    </row>
    <row r="45" ht="15.75" customHeight="1">
      <c r="A45" s="19"/>
      <c r="B45" s="19"/>
      <c r="C45" s="19"/>
    </row>
    <row r="46" ht="15.75" customHeight="1">
      <c r="A46" s="19"/>
      <c r="B46" s="19"/>
      <c r="C46" s="19"/>
    </row>
    <row r="47" ht="15.75" customHeight="1"/>
    <row r="48" ht="15.75" customHeight="1">
      <c r="A48" s="20" t="s">
        <v>10</v>
      </c>
      <c r="B48" s="20" t="s">
        <v>11</v>
      </c>
      <c r="C48" s="20" t="s">
        <v>12</v>
      </c>
      <c r="D48" s="20" t="s">
        <v>92</v>
      </c>
    </row>
    <row r="49" ht="15.75" customHeight="1">
      <c r="A49" s="17" t="s">
        <v>81</v>
      </c>
      <c r="B49" s="23" t="s">
        <v>24</v>
      </c>
      <c r="C49" s="17" t="s">
        <v>93</v>
      </c>
      <c r="D49" s="25">
        <v>46305.0</v>
      </c>
    </row>
    <row r="50" ht="15.75" customHeight="1">
      <c r="A50" s="17" t="s">
        <v>85</v>
      </c>
      <c r="B50" s="23" t="s">
        <v>24</v>
      </c>
      <c r="C50" s="17" t="s">
        <v>93</v>
      </c>
      <c r="D50" s="25">
        <v>46305.0</v>
      </c>
    </row>
    <row r="51" ht="15.75" customHeight="1">
      <c r="A51" s="17" t="s">
        <v>88</v>
      </c>
      <c r="B51" s="23" t="s">
        <v>24</v>
      </c>
      <c r="C51" s="17" t="s">
        <v>93</v>
      </c>
      <c r="D51" s="25">
        <v>46305.0</v>
      </c>
    </row>
    <row r="52" ht="15.75" customHeight="1">
      <c r="A52" s="19"/>
      <c r="B52" s="19"/>
      <c r="C52" s="19"/>
      <c r="D52" s="19"/>
    </row>
    <row r="53" ht="15.75" customHeight="1">
      <c r="A53" s="19"/>
      <c r="B53" s="19"/>
      <c r="C53" s="19"/>
      <c r="D53" s="19"/>
    </row>
    <row r="54" ht="15.75" customHeight="1">
      <c r="A54" s="19"/>
      <c r="B54" s="19"/>
      <c r="C54" s="19"/>
      <c r="D54" s="19"/>
    </row>
    <row r="55" ht="15.75" customHeight="1">
      <c r="A55" s="19"/>
      <c r="B55" s="19"/>
      <c r="C55" s="19"/>
      <c r="D55" s="19"/>
    </row>
    <row r="56" ht="15.75" customHeight="1">
      <c r="A56" s="19"/>
      <c r="B56" s="19"/>
      <c r="C56" s="19"/>
      <c r="D56" s="19"/>
    </row>
    <row r="57" ht="15.75" customHeight="1">
      <c r="A57" s="19"/>
      <c r="B57" s="19"/>
      <c r="C57" s="19"/>
      <c r="D57" s="19"/>
    </row>
    <row r="58" ht="15.75" customHeight="1">
      <c r="A58" s="19"/>
      <c r="B58" s="19"/>
      <c r="C58" s="19"/>
      <c r="D58" s="19"/>
    </row>
    <row r="59" ht="15.75" customHeight="1"/>
    <row r="60" ht="15.75" customHeight="1">
      <c r="A60" s="20" t="s">
        <v>14</v>
      </c>
    </row>
    <row r="61" ht="15.75" customHeight="1">
      <c r="A61" s="19"/>
    </row>
    <row r="62" ht="15.75" customHeight="1">
      <c r="A62" s="19"/>
    </row>
    <row r="63" ht="15.75" customHeight="1">
      <c r="A63" s="19"/>
    </row>
    <row r="64" ht="15.75" customHeight="1">
      <c r="A64" s="19"/>
    </row>
    <row r="65" ht="15.75" customHeight="1">
      <c r="A65" s="19"/>
    </row>
    <row r="66" ht="15.75" customHeight="1">
      <c r="A66" s="19"/>
    </row>
    <row r="67" ht="15.75" customHeight="1">
      <c r="A67" s="19"/>
    </row>
    <row r="68" ht="15.75" customHeight="1">
      <c r="A68" s="19"/>
    </row>
    <row r="69" ht="15.75" customHeight="1">
      <c r="A69" s="19"/>
    </row>
    <row r="70" ht="15.75" customHeight="1">
      <c r="A70" s="19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20.0"/>
    <col customWidth="1" min="4" max="4" width="14.0"/>
    <col customWidth="1" min="5" max="5" width="34.0"/>
    <col customWidth="1" min="6" max="8" width="24.0"/>
    <col customWidth="1" min="9" max="9" width="12.0"/>
    <col customWidth="1" min="10" max="10" width="16.0"/>
    <col customWidth="1" min="11" max="11" width="14.0"/>
    <col customWidth="1" min="12" max="12" width="32.0"/>
    <col customWidth="1" min="13" max="26" width="8.71"/>
  </cols>
  <sheetData>
    <row r="1" ht="30.0" customHeight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22</v>
      </c>
      <c r="I2" s="4" t="s">
        <v>24</v>
      </c>
      <c r="J2" s="4" t="s">
        <v>25</v>
      </c>
      <c r="K2" s="7">
        <v>46303.0</v>
      </c>
      <c r="L2" s="4"/>
    </row>
    <row r="3">
      <c r="A3" s="4" t="s">
        <v>28</v>
      </c>
      <c r="B3" s="4" t="s">
        <v>16</v>
      </c>
      <c r="C3" s="4" t="s">
        <v>29</v>
      </c>
      <c r="D3" s="4" t="s">
        <v>32</v>
      </c>
      <c r="E3" s="4" t="s">
        <v>33</v>
      </c>
      <c r="F3" s="4" t="s">
        <v>34</v>
      </c>
      <c r="G3" s="4" t="s">
        <v>36</v>
      </c>
      <c r="H3" s="4" t="s">
        <v>36</v>
      </c>
      <c r="I3" s="4" t="s">
        <v>24</v>
      </c>
      <c r="J3" s="4" t="s">
        <v>38</v>
      </c>
      <c r="K3" s="7">
        <v>46303.0</v>
      </c>
      <c r="L3" s="4"/>
    </row>
    <row r="4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46</v>
      </c>
      <c r="H4" s="4" t="s">
        <v>47</v>
      </c>
      <c r="I4" s="4" t="s">
        <v>48</v>
      </c>
      <c r="J4" s="4" t="s">
        <v>25</v>
      </c>
      <c r="K4" s="7">
        <v>46303.0</v>
      </c>
      <c r="L4" s="4" t="s">
        <v>49</v>
      </c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7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7"/>
      <c r="L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7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7"/>
      <c r="L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7"/>
      <c r="L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7"/>
      <c r="L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7"/>
      <c r="L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7"/>
      <c r="L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7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7"/>
      <c r="L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7"/>
      <c r="L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7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7"/>
      <c r="L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7"/>
      <c r="L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7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7"/>
      <c r="L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7"/>
      <c r="L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7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7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7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7"/>
      <c r="L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7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7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7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7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7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7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7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7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7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7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7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7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7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7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7"/>
      <c r="L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7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7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7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7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7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7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7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7"/>
      <c r="L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7"/>
      <c r="L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7"/>
      <c r="L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7"/>
      <c r="L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7"/>
      <c r="L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7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7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7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7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7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7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7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7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7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7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7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7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7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7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7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7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7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7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7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7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7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7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7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7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7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7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7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7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7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7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7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7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7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7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7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7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7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7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7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7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7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7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7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7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7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7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7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7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7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7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7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7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7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7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7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7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7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7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7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7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7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7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7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7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7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7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7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7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7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7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7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7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7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7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7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7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7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7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7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7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7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7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7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7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7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7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7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7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7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7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7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7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7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7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7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7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7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7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7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7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7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7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7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7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7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7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7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7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7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7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7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7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7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7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7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7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7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7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7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7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7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7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7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7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7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7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7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7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7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7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7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7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7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7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7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7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7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7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7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7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7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7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7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7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7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7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7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7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7"/>
      <c r="L201" s="4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201"/>
  <conditionalFormatting sqref="I2:I201">
    <cfRule type="cellIs" dxfId="0" priority="1" operator="equal">
      <formula>"Pasó"</formula>
    </cfRule>
  </conditionalFormatting>
  <conditionalFormatting sqref="I2:I201">
    <cfRule type="cellIs" dxfId="1" priority="2" operator="equal">
      <formula>"Falló"</formula>
    </cfRule>
  </conditionalFormatting>
  <conditionalFormatting sqref="I2:I201">
    <cfRule type="cellIs" dxfId="2" priority="3" operator="equal">
      <formula>"Pendiente"</formula>
    </cfRule>
  </conditionalFormatting>
  <conditionalFormatting sqref="I2:I201">
    <cfRule type="cellIs" dxfId="3" priority="4" operator="equal">
      <formula>"Omitido"</formula>
    </cfRule>
  </conditionalFormatting>
  <dataValidations>
    <dataValidation type="list" allowBlank="1" sqref="D2:D201">
      <formula1>"Normal,Borde,Error"</formula1>
    </dataValidation>
    <dataValidation type="list" allowBlank="1" sqref="I2:I201">
      <formula1>"Pasó,Falló,Pendiente,Omitido"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4" width="12.0"/>
    <col customWidth="1" min="5" max="26" width="8.71"/>
  </cols>
  <sheetData>
    <row r="1">
      <c r="A1" s="1" t="s">
        <v>0</v>
      </c>
    </row>
    <row r="3">
      <c r="A3" s="3" t="s">
        <v>3</v>
      </c>
      <c r="B3" s="9">
        <f>COUNTA('Casos de Prueba'!A2:A201)</f>
        <v>3</v>
      </c>
    </row>
    <row r="4">
      <c r="A4" s="11" t="s">
        <v>24</v>
      </c>
      <c r="B4" s="9">
        <f>COUNTIF('Casos de Prueba'!I2:I201,"Pasó")</f>
        <v>2</v>
      </c>
    </row>
    <row r="5">
      <c r="A5" s="14" t="s">
        <v>48</v>
      </c>
      <c r="B5" s="9">
        <f>COUNTIF('Casos de Prueba'!I2:I201,"Falló")</f>
        <v>1</v>
      </c>
    </row>
    <row r="6">
      <c r="A6" s="15" t="s">
        <v>62</v>
      </c>
      <c r="B6" s="9">
        <f>COUNTIF('Casos de Prueba'!I2:I201,"Pendiente")</f>
        <v>0</v>
      </c>
    </row>
    <row r="7">
      <c r="A7" s="18" t="s">
        <v>64</v>
      </c>
      <c r="B7" s="9">
        <f>COUNTIF('Casos de Prueba'!I2:I201,"Omitido")</f>
        <v>0</v>
      </c>
    </row>
    <row r="8">
      <c r="A8" s="3" t="s">
        <v>69</v>
      </c>
      <c r="B8" s="9">
        <f>B3-SUM(B4:B7)</f>
        <v>0</v>
      </c>
    </row>
    <row r="9">
      <c r="A9" s="3" t="s">
        <v>73</v>
      </c>
      <c r="B9" s="21">
        <f>IFERROR(B4/(B4+B5),0)</f>
        <v>0.6666666667</v>
      </c>
    </row>
    <row r="10">
      <c r="A10" s="3" t="s">
        <v>82</v>
      </c>
      <c r="B10" s="21">
        <f>IFERROR((B4+B5+B7)/B3,0)</f>
        <v>1</v>
      </c>
    </row>
    <row r="13">
      <c r="A13" s="12" t="s">
        <v>89</v>
      </c>
    </row>
    <row r="14">
      <c r="A14" s="22" t="s">
        <v>90</v>
      </c>
      <c r="B14" s="22" t="s">
        <v>91</v>
      </c>
      <c r="C14" s="22" t="s">
        <v>24</v>
      </c>
      <c r="D14" s="22" t="s">
        <v>48</v>
      </c>
    </row>
    <row r="15">
      <c r="A15" s="24" t="s">
        <v>19</v>
      </c>
      <c r="B15" s="9">
        <f>COUNTIF('Casos de Prueba'!D2:D201,A15)</f>
        <v>1</v>
      </c>
      <c r="C15" s="9">
        <f>COUNTIFS('Casos de Prueba'!D2:D201,A15,'Casos de Prueba'!I2:I201,"Pasó")</f>
        <v>1</v>
      </c>
      <c r="D15" s="9">
        <f>COUNTIFS('Casos de Prueba'!D2:D201,A15,'Casos de Prueba'!I2:I201,"Falló")</f>
        <v>0</v>
      </c>
    </row>
    <row r="16">
      <c r="A16" s="24" t="s">
        <v>42</v>
      </c>
      <c r="B16" s="9">
        <f>COUNTIF('Casos de Prueba'!D2:D201,A16)</f>
        <v>1</v>
      </c>
      <c r="C16" s="9">
        <f>COUNTIFS('Casos de Prueba'!D2:D201,A16,'Casos de Prueba'!I2:I201,"Pasó")</f>
        <v>0</v>
      </c>
      <c r="D16" s="9">
        <f>COUNTIFS('Casos de Prueba'!D2:D201,A16,'Casos de Prueba'!I2:I201,"Falló")</f>
        <v>1</v>
      </c>
    </row>
    <row r="17">
      <c r="A17" s="24" t="s">
        <v>32</v>
      </c>
      <c r="B17" s="9">
        <f>COUNTIF('Casos de Prueba'!D2:D201,A17)</f>
        <v>1</v>
      </c>
      <c r="C17" s="9">
        <f>COUNTIFS('Casos de Prueba'!D2:D201,A17,'Casos de Prueba'!I2:I201,"Pasó")</f>
        <v>1</v>
      </c>
      <c r="D17" s="9">
        <f>COUNTIFS('Casos de Prueba'!D2:D201,A17,'Casos de Prueba'!I2:I201,"Falló")</f>
        <v>0</v>
      </c>
    </row>
    <row r="20">
      <c r="A20" s="26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2026-10-08T21:29:09Z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